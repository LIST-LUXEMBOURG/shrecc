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recc_project\shrecc\figures\"/>
    </mc:Choice>
  </mc:AlternateContent>
  <xr:revisionPtr revIDLastSave="0" documentId="13_ncr:1_{0B2A11D2-5EF5-4D6A-9626-B24CF7EB38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3" sheetId="3" r:id="rId1"/>
    <sheet name="Sheet1" sheetId="1" r:id="rId2"/>
  </sheet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 a="1"/>
  <c r="L3" i="1" s="1"/>
  <c r="L15" i="1" l="1"/>
  <c r="L16" i="1"/>
  <c r="L2" i="1"/>
  <c r="L19" i="1"/>
  <c r="L14" i="1"/>
  <c r="L13" i="1"/>
  <c r="L12" i="1"/>
  <c r="L11" i="1"/>
  <c r="L10" i="1"/>
  <c r="L9" i="1"/>
  <c r="L8" i="1"/>
  <c r="L21" i="1"/>
  <c r="L7" i="1"/>
  <c r="L20" i="1"/>
  <c r="L6" i="1"/>
  <c r="L5" i="1"/>
  <c r="L18" i="1"/>
  <c r="L4" i="1"/>
  <c r="L17" i="1"/>
</calcChain>
</file>

<file path=xl/sharedStrings.xml><?xml version="1.0" encoding="utf-8"?>
<sst xmlns="http://schemas.openxmlformats.org/spreadsheetml/2006/main" count="168" uniqueCount="60">
  <si>
    <t>index</t>
  </si>
  <si>
    <t>amount</t>
  </si>
  <si>
    <t>unit</t>
  </si>
  <si>
    <t>name</t>
  </si>
  <si>
    <t>location</t>
  </si>
  <si>
    <t>database</t>
  </si>
  <si>
    <t>product</t>
  </si>
  <si>
    <t>ecoinvent-3.11 | EF v3.1 | climate change | global warming potential (GWP100)</t>
  </si>
  <si>
    <t>ecoinvent-3.11 | EF v3.1 | material resources: metals/minerals | abiotic depletion potential (ADP): elements (ultimate reserves)</t>
  </si>
  <si>
    <t>Electricity mix | Electricity mix in AT | AT | kWh | shrecc_tyndp_DE_2040_february_evening</t>
  </si>
  <si>
    <t>Electricity mix | Electricity mix in BE | BE | kWh | shrecc_tyndp_DE_2040_february_evening</t>
  </si>
  <si>
    <t>Electricity mix | Electricity mix in CH | CH | kWh | shrecc_tyndp_DE_2040_february_evening</t>
  </si>
  <si>
    <t>Electricity mix | Electricity mix in DE | DE | kWh | shrecc_tyndp_DE_2040_february_evening</t>
  </si>
  <si>
    <t>Electricity mix | Electricity mix in ES | ES | kWh | shrecc_tyndp_DE_2040_february_evening</t>
  </si>
  <si>
    <t>Electricity mix | Electricity mix in FR | FR | kWh | shrecc_tyndp_DE_2040_february_evening</t>
  </si>
  <si>
    <t>Electricity mix | Electricity mix in IT | IT | kWh | shrecc_tyndp_DE_2040_february_evening</t>
  </si>
  <si>
    <t>Electricity mix | Electricity mix in LU | LU | kWh | shrecc_tyndp_DE_2040_february_evening</t>
  </si>
  <si>
    <t>Electricity mix | Electricity mix in NL | NL | kWh | shrecc_tyndp_DE_2040_february_evening</t>
  </si>
  <si>
    <t>Electricity mix | Electricity mix in PT | PT | kWh | shrecc_tyndp_DE_2040_february_evening</t>
  </si>
  <si>
    <t>Electricity mix | Electricity mix in AT | AT | kWh | shrecc_tyndp_DE_2040_june_noon</t>
  </si>
  <si>
    <t>Electricity mix | Electricity mix in BE | BE | kWh | shrecc_tyndp_DE_2040_june_noon</t>
  </si>
  <si>
    <t>Electricity mix | Electricity mix in CH | CH | kWh | shrecc_tyndp_DE_2040_june_noon</t>
  </si>
  <si>
    <t>Electricity mix | Electricity mix in DE | DE | kWh | shrecc_tyndp_DE_2040_june_noon</t>
  </si>
  <si>
    <t>Electricity mix | Electricity mix in ES | ES | kWh | shrecc_tyndp_DE_2040_june_noon</t>
  </si>
  <si>
    <t>Electricity mix | Electricity mix in FR | FR | kWh | shrecc_tyndp_DE_2040_june_noon</t>
  </si>
  <si>
    <t>Electricity mix | Electricity mix in IT | IT | kWh | shrecc_tyndp_DE_2040_june_noon</t>
  </si>
  <si>
    <t>Electricity mix | Electricity mix in LU | LU | kWh | shrecc_tyndp_DE_2040_june_noon</t>
  </si>
  <si>
    <t>Electricity mix | Electricity mix in NL | NL | kWh | shrecc_tyndp_DE_2040_june_noon</t>
  </si>
  <si>
    <t>Electricity mix | Electricity mix in PT | PT | kWh | shrecc_tyndp_DE_2040_june_noon</t>
  </si>
  <si>
    <t>kWh</t>
  </si>
  <si>
    <t>Electricity mix in AT</t>
  </si>
  <si>
    <t>Electricity mix in BE</t>
  </si>
  <si>
    <t>Electricity mix in CH</t>
  </si>
  <si>
    <t>Electricity mix in DE</t>
  </si>
  <si>
    <t>Electricity mix in ES</t>
  </si>
  <si>
    <t>Electricity mix in FR</t>
  </si>
  <si>
    <t>Electricity mix in IT</t>
  </si>
  <si>
    <t>Electricity mix in LU</t>
  </si>
  <si>
    <t>Electricity mix in NL</t>
  </si>
  <si>
    <t>Electricity mix in PT</t>
  </si>
  <si>
    <t>AT</t>
  </si>
  <si>
    <t>BE</t>
  </si>
  <si>
    <t>CH</t>
  </si>
  <si>
    <t>DE</t>
  </si>
  <si>
    <t>ES</t>
  </si>
  <si>
    <t>FR</t>
  </si>
  <si>
    <t>IT</t>
  </si>
  <si>
    <t>LU</t>
  </si>
  <si>
    <t>NL</t>
  </si>
  <si>
    <t>PT</t>
  </si>
  <si>
    <t>shrecc_tyndp_DE_2040_february_evening</t>
  </si>
  <si>
    <t>shrecc_tyndp_DE_2040_june_noon</t>
  </si>
  <si>
    <t>Electricity mix</t>
  </si>
  <si>
    <t>time</t>
  </si>
  <si>
    <t>February 2040, evening</t>
  </si>
  <si>
    <t>June 2040, noon</t>
  </si>
  <si>
    <t>Row Labels</t>
  </si>
  <si>
    <t>Grand Total</t>
  </si>
  <si>
    <t>Column Labels</t>
  </si>
  <si>
    <t>Sum of ecoinvent-3.11 | EF v3.1 | climate change | global warming potential (GWP100)2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</si>
</sst>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15">
    <dxf>
      <numFmt numFmtId="170" formatCode="0.0"/>
    </dxf>
    <dxf>
      <numFmt numFmtId="1" formatCode="0"/>
    </dxf>
    <dxf>
      <numFmt numFmtId="170" formatCode="0.0"/>
    </dxf>
    <dxf>
      <numFmt numFmtId="2" formatCode="0.00"/>
    </dxf>
    <dxf>
      <numFmt numFmtId="2" formatCode="0.00"/>
    </dxf>
    <dxf>
      <numFmt numFmtId="169" formatCode="0.000"/>
    </dxf>
    <dxf>
      <numFmt numFmtId="169" formatCode="0.000"/>
    </dxf>
    <dxf>
      <numFmt numFmtId="168" formatCode="0.0000"/>
    </dxf>
    <dxf>
      <numFmt numFmtId="168" formatCode="0.0000"/>
    </dxf>
    <dxf>
      <numFmt numFmtId="167" formatCode="0.00000"/>
    </dxf>
    <dxf>
      <numFmt numFmtId="167" formatCode="0.00000"/>
    </dxf>
    <dxf>
      <numFmt numFmtId="166" formatCode="0.000000"/>
    </dxf>
    <dxf>
      <numFmt numFmtId="166" formatCode="0.000000"/>
    </dxf>
    <dxf>
      <numFmt numFmtId="165" formatCode="0.0000000"/>
    </dxf>
    <dxf>
      <numFmt numFmtId="165" formatCode="0.00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[tyndp_test_LCIA-results.xlsx]Sheet3!PivotTable2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February 2040, evening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Sheet3!$A$5:$A$15</c:f>
              <c:strCache>
                <c:ptCount val="10"/>
                <c:pt idx="0">
                  <c:v>AT</c:v>
                </c:pt>
                <c:pt idx="1">
                  <c:v>BE</c:v>
                </c:pt>
                <c:pt idx="2">
                  <c:v>CH</c:v>
                </c:pt>
                <c:pt idx="3">
                  <c:v>DE</c:v>
                </c:pt>
                <c:pt idx="4">
                  <c:v>ES</c:v>
                </c:pt>
                <c:pt idx="5">
                  <c:v>FR</c:v>
                </c:pt>
                <c:pt idx="6">
                  <c:v>IT</c:v>
                </c:pt>
                <c:pt idx="7">
                  <c:v>LU</c:v>
                </c:pt>
                <c:pt idx="8">
                  <c:v>NL</c:v>
                </c:pt>
                <c:pt idx="9">
                  <c:v>PT</c:v>
                </c:pt>
              </c:strCache>
            </c:strRef>
          </c:cat>
          <c:val>
            <c:numRef>
              <c:f>Sheet3!$B$5:$B$15</c:f>
              <c:numCache>
                <c:formatCode>0</c:formatCode>
                <c:ptCount val="10"/>
                <c:pt idx="0">
                  <c:v>17.655752943299021</c:v>
                </c:pt>
                <c:pt idx="1">
                  <c:v>58.986666055748422</c:v>
                </c:pt>
                <c:pt idx="2">
                  <c:v>19.9603379930439</c:v>
                </c:pt>
                <c:pt idx="3">
                  <c:v>26.869712260256708</c:v>
                </c:pt>
                <c:pt idx="4">
                  <c:v>24.176187337717831</c:v>
                </c:pt>
                <c:pt idx="5">
                  <c:v>13.821634097415801</c:v>
                </c:pt>
                <c:pt idx="6">
                  <c:v>69.58517672565111</c:v>
                </c:pt>
                <c:pt idx="7">
                  <c:v>38.156995721348643</c:v>
                </c:pt>
                <c:pt idx="8">
                  <c:v>49.816243360966354</c:v>
                </c:pt>
                <c:pt idx="9">
                  <c:v>34.599397083762113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7-4E77-8239-44E8BECD8817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June 2040, noon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Sheet3!$A$5:$A$15</c:f>
              <c:strCache>
                <c:ptCount val="10"/>
                <c:pt idx="0">
                  <c:v>AT</c:v>
                </c:pt>
                <c:pt idx="1">
                  <c:v>BE</c:v>
                </c:pt>
                <c:pt idx="2">
                  <c:v>CH</c:v>
                </c:pt>
                <c:pt idx="3">
                  <c:v>DE</c:v>
                </c:pt>
                <c:pt idx="4">
                  <c:v>ES</c:v>
                </c:pt>
                <c:pt idx="5">
                  <c:v>FR</c:v>
                </c:pt>
                <c:pt idx="6">
                  <c:v>IT</c:v>
                </c:pt>
                <c:pt idx="7">
                  <c:v>LU</c:v>
                </c:pt>
                <c:pt idx="8">
                  <c:v>NL</c:v>
                </c:pt>
                <c:pt idx="9">
                  <c:v>PT</c:v>
                </c:pt>
              </c:strCache>
            </c:strRef>
          </c:cat>
          <c:val>
            <c:numRef>
              <c:f>Sheet3!$C$5:$C$15</c:f>
              <c:numCache>
                <c:formatCode>0</c:formatCode>
                <c:ptCount val="10"/>
                <c:pt idx="0">
                  <c:v>12.606631597838479</c:v>
                </c:pt>
                <c:pt idx="1">
                  <c:v>14.59178288667535</c:v>
                </c:pt>
                <c:pt idx="2">
                  <c:v>13.26976655640231</c:v>
                </c:pt>
                <c:pt idx="3">
                  <c:v>14.715443184475751</c:v>
                </c:pt>
                <c:pt idx="4">
                  <c:v>12.465461199022259</c:v>
                </c:pt>
                <c:pt idx="5">
                  <c:v>13.01982157419482</c:v>
                </c:pt>
                <c:pt idx="6">
                  <c:v>12.6565479866243</c:v>
                </c:pt>
                <c:pt idx="7">
                  <c:v>15.285769825818829</c:v>
                </c:pt>
                <c:pt idx="8">
                  <c:v>14.412815621615321</c:v>
                </c:pt>
                <c:pt idx="9">
                  <c:v>11.47799347751369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27-4E77-8239-44E8BECD88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2830335"/>
        <c:axId val="612827935"/>
      </c:barChart>
      <c:catAx>
        <c:axId val="61283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27935"/>
        <c:crosses val="autoZero"/>
        <c:auto val="1"/>
        <c:lblAlgn val="ctr"/>
        <c:lblOffset val="100"/>
        <c:noMultiLvlLbl val="0"/>
      </c:catAx>
      <c:valAx>
        <c:axId val="61282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3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3762376</xdr:colOff>
      <xdr:row>6</xdr:row>
      <xdr:rowOff>85726</xdr:rowOff>
    </xdr:from>
    <xdr:to>
      <xdr:col>5</xdr:col>
      <xdr:colOff>85726</xdr:colOff>
      <xdr:row>25</xdr:row>
      <xdr:rowOff>128588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C3B3FF-17DC-3079-7817-BBF2640F1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mas Gibon" refreshedDate="46218.617552662035" createdVersion="8" refreshedVersion="8" minRefreshableVersion="3" recordCount="20" xr:uid="{89E7DB86-649E-4EDF-8405-C1D73A5E9CFD}">
  <cacheSource type="worksheet">
    <worksheetSource ref="B1:L21" sheet="Sheet1"/>
  </cacheSource>
  <cacheFields count="11">
    <cacheField name="index" numFmtId="0">
      <sharedItems/>
    </cacheField>
    <cacheField name="amount" numFmtId="0">
      <sharedItems containsSemiMixedTypes="0" containsString="0" containsNumber="1" containsInteger="1" minValue="1" maxValue="1"/>
    </cacheField>
    <cacheField name="unit" numFmtId="0">
      <sharedItems/>
    </cacheField>
    <cacheField name="name" numFmtId="0">
      <sharedItems/>
    </cacheField>
    <cacheField name="time" numFmtId="0">
      <sharedItems count="2">
        <s v="February 2040, evening"/>
        <s v="June 2040, noon"/>
      </sharedItems>
    </cacheField>
    <cacheField name="location" numFmtId="0">
      <sharedItems count="10">
        <s v="AT"/>
        <s v="BE"/>
        <s v="CH"/>
        <s v="DE"/>
        <s v="ES"/>
        <s v="FR"/>
        <s v="IT"/>
        <s v="LU"/>
        <s v="NL"/>
        <s v="PT"/>
      </sharedItems>
    </cacheField>
    <cacheField name="database" numFmtId="0">
      <sharedItems/>
    </cacheField>
    <cacheField name="product" numFmtId="0">
      <sharedItems/>
    </cacheField>
    <cacheField name="ecoinvent-3.11 | EF v3.1 | climate change | global warming potential (GWP100)" numFmtId="0">
      <sharedItems containsSemiMixedTypes="0" containsString="0" containsNumber="1" minValue="1.1477993477513691E-2" maxValue="6.9585176725651107E-2"/>
    </cacheField>
    <cacheField name="ecoinvent-3.11 | EF v3.1 | material resources: metals/minerals | abiotic depletion potential (ADP): elements (ultimate reserves)" numFmtId="0">
      <sharedItems containsSemiMixedTypes="0" containsString="0" containsNumber="1" minValue="2.0663351648550659E-6" maxValue="3.9808612273640204E-6"/>
    </cacheField>
    <cacheField name="ecoinvent-3.11 | EF v3.1 | climate change | global warming potential (GWP100)2" numFmtId="0">
      <sharedItems containsSemiMixedTypes="0" containsString="0" containsNumber="1" minValue="11.47799347751369" maxValue="69.58517672565111" count="20">
        <n v="17.655752943299021"/>
        <n v="58.986666055748422"/>
        <n v="19.9603379930439"/>
        <n v="26.869712260256708"/>
        <n v="24.176187337717831"/>
        <n v="13.821634097415801"/>
        <n v="69.58517672565111"/>
        <n v="38.156995721348643"/>
        <n v="49.816243360966354"/>
        <n v="34.599397083762113"/>
        <n v="12.606631597838479"/>
        <n v="14.59178288667535"/>
        <n v="13.26976655640231"/>
        <n v="14.715443184475751"/>
        <n v="12.465461199022259"/>
        <n v="13.01982157419482"/>
        <n v="12.6565479866243"/>
        <n v="15.285769825818829"/>
        <n v="14.412815621615321"/>
        <n v="11.4779934775136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Electricity mix | Electricity mix in AT | AT | kWh | shrecc_tyndp_DE_2040_february_evening"/>
    <n v="1"/>
    <s v="kWh"/>
    <s v="Electricity mix in AT"/>
    <x v="0"/>
    <x v="0"/>
    <s v="shrecc_tyndp_DE_2040_february_evening"/>
    <s v="Electricity mix"/>
    <n v="1.7655752943299019E-2"/>
    <n v="2.199361390825664E-6"/>
    <x v="0"/>
  </r>
  <r>
    <s v="Electricity mix | Electricity mix in BE | BE | kWh | shrecc_tyndp_DE_2040_february_evening"/>
    <n v="1"/>
    <s v="kWh"/>
    <s v="Electricity mix in BE"/>
    <x v="0"/>
    <x v="1"/>
    <s v="shrecc_tyndp_DE_2040_february_evening"/>
    <s v="Electricity mix"/>
    <n v="5.898666605574842E-2"/>
    <n v="2.2952940294318472E-6"/>
    <x v="1"/>
  </r>
  <r>
    <s v="Electricity mix | Electricity mix in CH | CH | kWh | shrecc_tyndp_DE_2040_february_evening"/>
    <n v="1"/>
    <s v="kWh"/>
    <s v="Electricity mix in CH"/>
    <x v="0"/>
    <x v="2"/>
    <s v="shrecc_tyndp_DE_2040_february_evening"/>
    <s v="Electricity mix"/>
    <n v="1.9960337993043899E-2"/>
    <n v="2.159159776331182E-6"/>
    <x v="2"/>
  </r>
  <r>
    <s v="Electricity mix | Electricity mix in DE | DE | kWh | shrecc_tyndp_DE_2040_february_evening"/>
    <n v="1"/>
    <s v="kWh"/>
    <s v="Electricity mix in DE"/>
    <x v="0"/>
    <x v="3"/>
    <s v="shrecc_tyndp_DE_2040_february_evening"/>
    <s v="Electricity mix"/>
    <n v="2.6869712260256709E-2"/>
    <n v="2.2827576959351429E-6"/>
    <x v="3"/>
  </r>
  <r>
    <s v="Electricity mix | Electricity mix in ES | ES | kWh | shrecc_tyndp_DE_2040_february_evening"/>
    <n v="1"/>
    <s v="kWh"/>
    <s v="Electricity mix in ES"/>
    <x v="0"/>
    <x v="4"/>
    <s v="shrecc_tyndp_DE_2040_february_evening"/>
    <s v="Electricity mix"/>
    <n v="2.4176187337717831E-2"/>
    <n v="2.250461660947556E-6"/>
    <x v="4"/>
  </r>
  <r>
    <s v="Electricity mix | Electricity mix in FR | FR | kWh | shrecc_tyndp_DE_2040_february_evening"/>
    <n v="1"/>
    <s v="kWh"/>
    <s v="Electricity mix in FR"/>
    <x v="0"/>
    <x v="5"/>
    <s v="shrecc_tyndp_DE_2040_february_evening"/>
    <s v="Electricity mix"/>
    <n v="1.38216340974158E-2"/>
    <n v="2.2102253040890379E-6"/>
    <x v="5"/>
  </r>
  <r>
    <s v="Electricity mix | Electricity mix in IT | IT | kWh | shrecc_tyndp_DE_2040_february_evening"/>
    <n v="1"/>
    <s v="kWh"/>
    <s v="Electricity mix in IT"/>
    <x v="0"/>
    <x v="6"/>
    <s v="shrecc_tyndp_DE_2040_february_evening"/>
    <s v="Electricity mix"/>
    <n v="6.9585176725651107E-2"/>
    <n v="2.3621833165663381E-6"/>
    <x v="6"/>
  </r>
  <r>
    <s v="Electricity mix | Electricity mix in LU | LU | kWh | shrecc_tyndp_DE_2040_february_evening"/>
    <n v="1"/>
    <s v="kWh"/>
    <s v="Electricity mix in LU"/>
    <x v="0"/>
    <x v="7"/>
    <s v="shrecc_tyndp_DE_2040_february_evening"/>
    <s v="Electricity mix"/>
    <n v="3.8156995721348647E-2"/>
    <n v="2.225079262526387E-6"/>
    <x v="7"/>
  </r>
  <r>
    <s v="Electricity mix | Electricity mix in NL | NL | kWh | shrecc_tyndp_DE_2040_february_evening"/>
    <n v="1"/>
    <s v="kWh"/>
    <s v="Electricity mix in NL"/>
    <x v="0"/>
    <x v="8"/>
    <s v="shrecc_tyndp_DE_2040_february_evening"/>
    <s v="Electricity mix"/>
    <n v="4.9816243360966357E-2"/>
    <n v="2.397799593212575E-6"/>
    <x v="8"/>
  </r>
  <r>
    <s v="Electricity mix | Electricity mix in PT | PT | kWh | shrecc_tyndp_DE_2040_february_evening"/>
    <n v="1"/>
    <s v="kWh"/>
    <s v="Electricity mix in PT"/>
    <x v="0"/>
    <x v="9"/>
    <s v="shrecc_tyndp_DE_2040_february_evening"/>
    <s v="Electricity mix"/>
    <n v="3.4599397083762112E-2"/>
    <n v="2.0663351648550659E-6"/>
    <x v="9"/>
  </r>
  <r>
    <s v="Electricity mix | Electricity mix in AT | AT | kWh | shrecc_tyndp_DE_2040_june_noon"/>
    <n v="1"/>
    <s v="kWh"/>
    <s v="Electricity mix in AT"/>
    <x v="1"/>
    <x v="0"/>
    <s v="shrecc_tyndp_DE_2040_june_noon"/>
    <s v="Electricity mix"/>
    <n v="1.260663159783848E-2"/>
    <n v="3.0072527298412019E-6"/>
    <x v="10"/>
  </r>
  <r>
    <s v="Electricity mix | Electricity mix in BE | BE | kWh | shrecc_tyndp_DE_2040_june_noon"/>
    <n v="1"/>
    <s v="kWh"/>
    <s v="Electricity mix in BE"/>
    <x v="1"/>
    <x v="1"/>
    <s v="shrecc_tyndp_DE_2040_june_noon"/>
    <s v="Electricity mix"/>
    <n v="1.4591782886675351E-2"/>
    <n v="3.8351722025855377E-6"/>
    <x v="11"/>
  </r>
  <r>
    <s v="Electricity mix | Electricity mix in CH | CH | kWh | shrecc_tyndp_DE_2040_june_noon"/>
    <n v="1"/>
    <s v="kWh"/>
    <s v="Electricity mix in CH"/>
    <x v="1"/>
    <x v="2"/>
    <s v="shrecc_tyndp_DE_2040_june_noon"/>
    <s v="Electricity mix"/>
    <n v="1.326976655640231E-2"/>
    <n v="3.335900685275865E-6"/>
    <x v="12"/>
  </r>
  <r>
    <s v="Electricity mix | Electricity mix in DE | DE | kWh | shrecc_tyndp_DE_2040_june_noon"/>
    <n v="1"/>
    <s v="kWh"/>
    <s v="Electricity mix in DE"/>
    <x v="1"/>
    <x v="3"/>
    <s v="shrecc_tyndp_DE_2040_june_noon"/>
    <s v="Electricity mix"/>
    <n v="1.4715443184475751E-2"/>
    <n v="3.762550905009986E-6"/>
    <x v="13"/>
  </r>
  <r>
    <s v="Electricity mix | Electricity mix in ES | ES | kWh | shrecc_tyndp_DE_2040_june_noon"/>
    <n v="1"/>
    <s v="kWh"/>
    <s v="Electricity mix in ES"/>
    <x v="1"/>
    <x v="4"/>
    <s v="shrecc_tyndp_DE_2040_june_noon"/>
    <s v="Electricity mix"/>
    <n v="1.2465461199022259E-2"/>
    <n v="3.8547005871475559E-6"/>
    <x v="14"/>
  </r>
  <r>
    <s v="Electricity mix | Electricity mix in FR | FR | kWh | shrecc_tyndp_DE_2040_june_noon"/>
    <n v="1"/>
    <s v="kWh"/>
    <s v="Electricity mix in FR"/>
    <x v="1"/>
    <x v="5"/>
    <s v="shrecc_tyndp_DE_2040_june_noon"/>
    <s v="Electricity mix"/>
    <n v="1.3019821574194819E-2"/>
    <n v="3.8523747357447403E-6"/>
    <x v="15"/>
  </r>
  <r>
    <s v="Electricity mix | Electricity mix in IT | IT | kWh | shrecc_tyndp_DE_2040_june_noon"/>
    <n v="1"/>
    <s v="kWh"/>
    <s v="Electricity mix in IT"/>
    <x v="1"/>
    <x v="6"/>
    <s v="shrecc_tyndp_DE_2040_june_noon"/>
    <s v="Electricity mix"/>
    <n v="1.26565479866243E-2"/>
    <n v="3.8046715375981071E-6"/>
    <x v="16"/>
  </r>
  <r>
    <s v="Electricity mix | Electricity mix in LU | LU | kWh | shrecc_tyndp_DE_2040_june_noon"/>
    <n v="1"/>
    <s v="kWh"/>
    <s v="Electricity mix in LU"/>
    <x v="1"/>
    <x v="7"/>
    <s v="shrecc_tyndp_DE_2040_june_noon"/>
    <s v="Electricity mix"/>
    <n v="1.5285769825818829E-2"/>
    <n v="3.8962585103461747E-6"/>
    <x v="17"/>
  </r>
  <r>
    <s v="Electricity mix | Electricity mix in NL | NL | kWh | shrecc_tyndp_DE_2040_june_noon"/>
    <n v="1"/>
    <s v="kWh"/>
    <s v="Electricity mix in NL"/>
    <x v="1"/>
    <x v="8"/>
    <s v="shrecc_tyndp_DE_2040_june_noon"/>
    <s v="Electricity mix"/>
    <n v="1.4412815621615321E-2"/>
    <n v="3.9808612273640204E-6"/>
    <x v="18"/>
  </r>
  <r>
    <s v="Electricity mix | Electricity mix in PT | PT | kWh | shrecc_tyndp_DE_2040_june_noon"/>
    <n v="1"/>
    <s v="kWh"/>
    <s v="Electricity mix in PT"/>
    <x v="1"/>
    <x v="9"/>
    <s v="shrecc_tyndp_DE_2040_june_noon"/>
    <s v="Electricity mix"/>
    <n v="1.1477993477513691E-2"/>
    <n v="3.5663707037584011E-6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3E51F-1C52-40BF-B135-FC0D63FDC45A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5" firstHeaderRow="1" firstDataRow="2" firstDataCol="1"/>
  <pivotFields count="11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dataField="1" showAll="0">
      <items count="21">
        <item x="19"/>
        <item x="14"/>
        <item x="10"/>
        <item x="16"/>
        <item x="15"/>
        <item x="12"/>
        <item x="5"/>
        <item x="18"/>
        <item x="11"/>
        <item x="13"/>
        <item x="17"/>
        <item x="0"/>
        <item x="2"/>
        <item x="4"/>
        <item x="3"/>
        <item x="9"/>
        <item x="7"/>
        <item x="8"/>
        <item x="1"/>
        <item x="6"/>
        <item t="default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ecoinvent-3.11 | EF v3.1 | climate change | global warming potential (GWP100)2" fld="10" baseField="0" baseItem="0" numFmtId="1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9DA1-C3CC-4ECD-A999-AD2B1DF16341}">
  <dimension ref="A3:D15"/>
  <sheetViews>
    <sheetView tabSelected="1" workbookViewId="0">
      <selection activeCell="A4" sqref="A4"/>
    </sheetView>
  </sheetViews>
  <sheetFormatPr defaultRowHeight="15" x14ac:dyDescent="0.25"/>
  <cols>
    <col min="1" max="1" width="80.5703125" bestFit="1" customWidth="1"/>
    <col min="2" max="2" width="21.85546875" bestFit="1" customWidth="1"/>
    <col min="3" max="3" width="15.28515625" bestFit="1" customWidth="1"/>
    <col min="4" max="7" width="12" bestFit="1" customWidth="1"/>
    <col min="8" max="8" width="11" bestFit="1" customWidth="1"/>
    <col min="9" max="21" width="12" bestFit="1" customWidth="1"/>
    <col min="22" max="22" width="11.28515625" bestFit="1" customWidth="1"/>
  </cols>
  <sheetData>
    <row r="3" spans="1:4" x14ac:dyDescent="0.25">
      <c r="A3" s="2" t="s">
        <v>59</v>
      </c>
      <c r="B3" s="2" t="s">
        <v>58</v>
      </c>
    </row>
    <row r="4" spans="1:4" x14ac:dyDescent="0.25">
      <c r="A4" s="2" t="s">
        <v>56</v>
      </c>
      <c r="B4" t="s">
        <v>54</v>
      </c>
      <c r="C4" t="s">
        <v>55</v>
      </c>
      <c r="D4" t="s">
        <v>57</v>
      </c>
    </row>
    <row r="5" spans="1:4" x14ac:dyDescent="0.25">
      <c r="A5" s="3" t="s">
        <v>40</v>
      </c>
      <c r="B5" s="4">
        <v>17.655752943299021</v>
      </c>
      <c r="C5" s="4">
        <v>12.606631597838479</v>
      </c>
      <c r="D5" s="4">
        <v>30.2623845411375</v>
      </c>
    </row>
    <row r="6" spans="1:4" x14ac:dyDescent="0.25">
      <c r="A6" s="3" t="s">
        <v>41</v>
      </c>
      <c r="B6" s="4">
        <v>58.986666055748422</v>
      </c>
      <c r="C6" s="4">
        <v>14.59178288667535</v>
      </c>
      <c r="D6" s="4">
        <v>73.578448942423776</v>
      </c>
    </row>
    <row r="7" spans="1:4" x14ac:dyDescent="0.25">
      <c r="A7" s="3" t="s">
        <v>42</v>
      </c>
      <c r="B7" s="4">
        <v>19.9603379930439</v>
      </c>
      <c r="C7" s="4">
        <v>13.26976655640231</v>
      </c>
      <c r="D7" s="4">
        <v>33.23010454944621</v>
      </c>
    </row>
    <row r="8" spans="1:4" x14ac:dyDescent="0.25">
      <c r="A8" s="3" t="s">
        <v>43</v>
      </c>
      <c r="B8" s="4">
        <v>26.869712260256708</v>
      </c>
      <c r="C8" s="4">
        <v>14.715443184475751</v>
      </c>
      <c r="D8" s="4">
        <v>41.585155444732457</v>
      </c>
    </row>
    <row r="9" spans="1:4" x14ac:dyDescent="0.25">
      <c r="A9" s="3" t="s">
        <v>44</v>
      </c>
      <c r="B9" s="4">
        <v>24.176187337717831</v>
      </c>
      <c r="C9" s="4">
        <v>12.465461199022259</v>
      </c>
      <c r="D9" s="4">
        <v>36.641648536740092</v>
      </c>
    </row>
    <row r="10" spans="1:4" x14ac:dyDescent="0.25">
      <c r="A10" s="3" t="s">
        <v>45</v>
      </c>
      <c r="B10" s="4">
        <v>13.821634097415801</v>
      </c>
      <c r="C10" s="4">
        <v>13.01982157419482</v>
      </c>
      <c r="D10" s="4">
        <v>26.841455671610621</v>
      </c>
    </row>
    <row r="11" spans="1:4" x14ac:dyDescent="0.25">
      <c r="A11" s="3" t="s">
        <v>46</v>
      </c>
      <c r="B11" s="4">
        <v>69.58517672565111</v>
      </c>
      <c r="C11" s="4">
        <v>12.6565479866243</v>
      </c>
      <c r="D11" s="4">
        <v>82.241724712275413</v>
      </c>
    </row>
    <row r="12" spans="1:4" x14ac:dyDescent="0.25">
      <c r="A12" s="3" t="s">
        <v>47</v>
      </c>
      <c r="B12" s="4">
        <v>38.156995721348643</v>
      </c>
      <c r="C12" s="4">
        <v>15.285769825818829</v>
      </c>
      <c r="D12" s="4">
        <v>53.442765547167468</v>
      </c>
    </row>
    <row r="13" spans="1:4" x14ac:dyDescent="0.25">
      <c r="A13" s="3" t="s">
        <v>48</v>
      </c>
      <c r="B13" s="4">
        <v>49.816243360966354</v>
      </c>
      <c r="C13" s="4">
        <v>14.412815621615321</v>
      </c>
      <c r="D13" s="4">
        <v>64.229058982581677</v>
      </c>
    </row>
    <row r="14" spans="1:4" x14ac:dyDescent="0.25">
      <c r="A14" s="3" t="s">
        <v>49</v>
      </c>
      <c r="B14" s="4">
        <v>34.599397083762113</v>
      </c>
      <c r="C14" s="4">
        <v>11.47799347751369</v>
      </c>
      <c r="D14" s="4">
        <v>46.077390561275806</v>
      </c>
    </row>
    <row r="15" spans="1:4" x14ac:dyDescent="0.25">
      <c r="A15" s="3" t="s">
        <v>57</v>
      </c>
      <c r="B15" s="4">
        <v>353.62810357920989</v>
      </c>
      <c r="C15" s="4">
        <v>134.50203391018113</v>
      </c>
      <c r="D15" s="4">
        <v>488.13013748939113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opLeftCell="B1" workbookViewId="0">
      <selection activeCell="A2" sqref="A2"/>
    </sheetView>
  </sheetViews>
  <sheetFormatPr defaultRowHeight="15" x14ac:dyDescent="0.25"/>
  <cols>
    <col min="1" max="1" width="3" bestFit="1" customWidth="1"/>
    <col min="2" max="2" width="84" bestFit="1" customWidth="1"/>
    <col min="3" max="3" width="7.85546875" bestFit="1" customWidth="1"/>
    <col min="4" max="4" width="5" bestFit="1" customWidth="1"/>
    <col min="5" max="5" width="18.7109375" bestFit="1" customWidth="1"/>
    <col min="6" max="6" width="18.7109375" customWidth="1"/>
    <col min="7" max="7" width="8.140625" bestFit="1" customWidth="1"/>
    <col min="8" max="8" width="38.7109375" bestFit="1" customWidth="1"/>
    <col min="9" max="9" width="13.5703125" bestFit="1" customWidth="1"/>
    <col min="10" max="10" width="72.7109375" bestFit="1" customWidth="1"/>
    <col min="11" max="11" width="117.5703125" bestFit="1" customWidth="1"/>
  </cols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53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7</v>
      </c>
    </row>
    <row r="2" spans="1:12" x14ac:dyDescent="0.25">
      <c r="A2" s="1">
        <v>0</v>
      </c>
      <c r="B2" t="s">
        <v>9</v>
      </c>
      <c r="C2">
        <v>1</v>
      </c>
      <c r="D2" t="s">
        <v>29</v>
      </c>
      <c r="E2" t="s">
        <v>30</v>
      </c>
      <c r="F2" t="s">
        <v>54</v>
      </c>
      <c r="G2" t="s">
        <v>40</v>
      </c>
      <c r="H2" t="s">
        <v>50</v>
      </c>
      <c r="I2" t="s">
        <v>52</v>
      </c>
      <c r="J2">
        <v>1.7655752943299019E-2</v>
      </c>
      <c r="K2">
        <v>2.199361390825664E-6</v>
      </c>
      <c r="L2">
        <f t="array" ref="L2:L21">1000*J2:J21</f>
        <v>17.655752943299021</v>
      </c>
    </row>
    <row r="3" spans="1:12" x14ac:dyDescent="0.25">
      <c r="A3" s="1">
        <v>1</v>
      </c>
      <c r="B3" t="s">
        <v>10</v>
      </c>
      <c r="C3">
        <v>1</v>
      </c>
      <c r="D3" t="s">
        <v>29</v>
      </c>
      <c r="E3" t="s">
        <v>31</v>
      </c>
      <c r="F3" t="s">
        <v>54</v>
      </c>
      <c r="G3" t="s">
        <v>41</v>
      </c>
      <c r="H3" t="s">
        <v>50</v>
      </c>
      <c r="I3" t="s">
        <v>52</v>
      </c>
      <c r="J3">
        <v>5.898666605574842E-2</v>
      </c>
      <c r="K3">
        <v>2.2952940294318472E-6</v>
      </c>
      <c r="L3">
        <v>58.986666055748422</v>
      </c>
    </row>
    <row r="4" spans="1:12" x14ac:dyDescent="0.25">
      <c r="A4" s="1">
        <v>2</v>
      </c>
      <c r="B4" t="s">
        <v>11</v>
      </c>
      <c r="C4">
        <v>1</v>
      </c>
      <c r="D4" t="s">
        <v>29</v>
      </c>
      <c r="E4" t="s">
        <v>32</v>
      </c>
      <c r="F4" t="s">
        <v>54</v>
      </c>
      <c r="G4" t="s">
        <v>42</v>
      </c>
      <c r="H4" t="s">
        <v>50</v>
      </c>
      <c r="I4" t="s">
        <v>52</v>
      </c>
      <c r="J4">
        <v>1.9960337993043899E-2</v>
      </c>
      <c r="K4">
        <v>2.159159776331182E-6</v>
      </c>
      <c r="L4">
        <v>19.9603379930439</v>
      </c>
    </row>
    <row r="5" spans="1:12" x14ac:dyDescent="0.25">
      <c r="A5" s="1">
        <v>3</v>
      </c>
      <c r="B5" t="s">
        <v>12</v>
      </c>
      <c r="C5">
        <v>1</v>
      </c>
      <c r="D5" t="s">
        <v>29</v>
      </c>
      <c r="E5" t="s">
        <v>33</v>
      </c>
      <c r="F5" t="s">
        <v>54</v>
      </c>
      <c r="G5" t="s">
        <v>43</v>
      </c>
      <c r="H5" t="s">
        <v>50</v>
      </c>
      <c r="I5" t="s">
        <v>52</v>
      </c>
      <c r="J5">
        <v>2.6869712260256709E-2</v>
      </c>
      <c r="K5">
        <v>2.2827576959351429E-6</v>
      </c>
      <c r="L5">
        <v>26.869712260256708</v>
      </c>
    </row>
    <row r="6" spans="1:12" x14ac:dyDescent="0.25">
      <c r="A6" s="1">
        <v>4</v>
      </c>
      <c r="B6" t="s">
        <v>13</v>
      </c>
      <c r="C6">
        <v>1</v>
      </c>
      <c r="D6" t="s">
        <v>29</v>
      </c>
      <c r="E6" t="s">
        <v>34</v>
      </c>
      <c r="F6" t="s">
        <v>54</v>
      </c>
      <c r="G6" t="s">
        <v>44</v>
      </c>
      <c r="H6" t="s">
        <v>50</v>
      </c>
      <c r="I6" t="s">
        <v>52</v>
      </c>
      <c r="J6">
        <v>2.4176187337717831E-2</v>
      </c>
      <c r="K6">
        <v>2.250461660947556E-6</v>
      </c>
      <c r="L6">
        <v>24.176187337717831</v>
      </c>
    </row>
    <row r="7" spans="1:12" x14ac:dyDescent="0.25">
      <c r="A7" s="1">
        <v>5</v>
      </c>
      <c r="B7" t="s">
        <v>14</v>
      </c>
      <c r="C7">
        <v>1</v>
      </c>
      <c r="D7" t="s">
        <v>29</v>
      </c>
      <c r="E7" t="s">
        <v>35</v>
      </c>
      <c r="F7" t="s">
        <v>54</v>
      </c>
      <c r="G7" t="s">
        <v>45</v>
      </c>
      <c r="H7" t="s">
        <v>50</v>
      </c>
      <c r="I7" t="s">
        <v>52</v>
      </c>
      <c r="J7">
        <v>1.38216340974158E-2</v>
      </c>
      <c r="K7">
        <v>2.2102253040890379E-6</v>
      </c>
      <c r="L7">
        <v>13.821634097415801</v>
      </c>
    </row>
    <row r="8" spans="1:12" x14ac:dyDescent="0.25">
      <c r="A8" s="1">
        <v>6</v>
      </c>
      <c r="B8" t="s">
        <v>15</v>
      </c>
      <c r="C8">
        <v>1</v>
      </c>
      <c r="D8" t="s">
        <v>29</v>
      </c>
      <c r="E8" t="s">
        <v>36</v>
      </c>
      <c r="F8" t="s">
        <v>54</v>
      </c>
      <c r="G8" t="s">
        <v>46</v>
      </c>
      <c r="H8" t="s">
        <v>50</v>
      </c>
      <c r="I8" t="s">
        <v>52</v>
      </c>
      <c r="J8">
        <v>6.9585176725651107E-2</v>
      </c>
      <c r="K8">
        <v>2.3621833165663381E-6</v>
      </c>
      <c r="L8">
        <v>69.58517672565111</v>
      </c>
    </row>
    <row r="9" spans="1:12" x14ac:dyDescent="0.25">
      <c r="A9" s="1">
        <v>7</v>
      </c>
      <c r="B9" t="s">
        <v>16</v>
      </c>
      <c r="C9">
        <v>1</v>
      </c>
      <c r="D9" t="s">
        <v>29</v>
      </c>
      <c r="E9" t="s">
        <v>37</v>
      </c>
      <c r="F9" t="s">
        <v>54</v>
      </c>
      <c r="G9" t="s">
        <v>47</v>
      </c>
      <c r="H9" t="s">
        <v>50</v>
      </c>
      <c r="I9" t="s">
        <v>52</v>
      </c>
      <c r="J9">
        <v>3.8156995721348647E-2</v>
      </c>
      <c r="K9">
        <v>2.225079262526387E-6</v>
      </c>
      <c r="L9">
        <v>38.156995721348643</v>
      </c>
    </row>
    <row r="10" spans="1:12" x14ac:dyDescent="0.25">
      <c r="A10" s="1">
        <v>8</v>
      </c>
      <c r="B10" t="s">
        <v>17</v>
      </c>
      <c r="C10">
        <v>1</v>
      </c>
      <c r="D10" t="s">
        <v>29</v>
      </c>
      <c r="E10" t="s">
        <v>38</v>
      </c>
      <c r="F10" t="s">
        <v>54</v>
      </c>
      <c r="G10" t="s">
        <v>48</v>
      </c>
      <c r="H10" t="s">
        <v>50</v>
      </c>
      <c r="I10" t="s">
        <v>52</v>
      </c>
      <c r="J10">
        <v>4.9816243360966357E-2</v>
      </c>
      <c r="K10">
        <v>2.397799593212575E-6</v>
      </c>
      <c r="L10">
        <v>49.816243360966354</v>
      </c>
    </row>
    <row r="11" spans="1:12" x14ac:dyDescent="0.25">
      <c r="A11" s="1">
        <v>9</v>
      </c>
      <c r="B11" t="s">
        <v>18</v>
      </c>
      <c r="C11">
        <v>1</v>
      </c>
      <c r="D11" t="s">
        <v>29</v>
      </c>
      <c r="E11" t="s">
        <v>39</v>
      </c>
      <c r="F11" t="s">
        <v>54</v>
      </c>
      <c r="G11" t="s">
        <v>49</v>
      </c>
      <c r="H11" t="s">
        <v>50</v>
      </c>
      <c r="I11" t="s">
        <v>52</v>
      </c>
      <c r="J11">
        <v>3.4599397083762112E-2</v>
      </c>
      <c r="K11">
        <v>2.0663351648550659E-6</v>
      </c>
      <c r="L11">
        <v>34.599397083762113</v>
      </c>
    </row>
    <row r="12" spans="1:12" x14ac:dyDescent="0.25">
      <c r="A12" s="1">
        <v>10</v>
      </c>
      <c r="B12" t="s">
        <v>19</v>
      </c>
      <c r="C12">
        <v>1</v>
      </c>
      <c r="D12" t="s">
        <v>29</v>
      </c>
      <c r="E12" t="s">
        <v>30</v>
      </c>
      <c r="F12" t="s">
        <v>55</v>
      </c>
      <c r="G12" t="s">
        <v>40</v>
      </c>
      <c r="H12" t="s">
        <v>51</v>
      </c>
      <c r="I12" t="s">
        <v>52</v>
      </c>
      <c r="J12">
        <v>1.260663159783848E-2</v>
      </c>
      <c r="K12">
        <v>3.0072527298412019E-6</v>
      </c>
      <c r="L12">
        <v>12.606631597838479</v>
      </c>
    </row>
    <row r="13" spans="1:12" x14ac:dyDescent="0.25">
      <c r="A13" s="1">
        <v>11</v>
      </c>
      <c r="B13" t="s">
        <v>20</v>
      </c>
      <c r="C13">
        <v>1</v>
      </c>
      <c r="D13" t="s">
        <v>29</v>
      </c>
      <c r="E13" t="s">
        <v>31</v>
      </c>
      <c r="F13" t="s">
        <v>55</v>
      </c>
      <c r="G13" t="s">
        <v>41</v>
      </c>
      <c r="H13" t="s">
        <v>51</v>
      </c>
      <c r="I13" t="s">
        <v>52</v>
      </c>
      <c r="J13">
        <v>1.4591782886675351E-2</v>
      </c>
      <c r="K13">
        <v>3.8351722025855377E-6</v>
      </c>
      <c r="L13">
        <v>14.59178288667535</v>
      </c>
    </row>
    <row r="14" spans="1:12" x14ac:dyDescent="0.25">
      <c r="A14" s="1">
        <v>12</v>
      </c>
      <c r="B14" t="s">
        <v>21</v>
      </c>
      <c r="C14">
        <v>1</v>
      </c>
      <c r="D14" t="s">
        <v>29</v>
      </c>
      <c r="E14" t="s">
        <v>32</v>
      </c>
      <c r="F14" t="s">
        <v>55</v>
      </c>
      <c r="G14" t="s">
        <v>42</v>
      </c>
      <c r="H14" t="s">
        <v>51</v>
      </c>
      <c r="I14" t="s">
        <v>52</v>
      </c>
      <c r="J14">
        <v>1.326976655640231E-2</v>
      </c>
      <c r="K14">
        <v>3.335900685275865E-6</v>
      </c>
      <c r="L14">
        <v>13.26976655640231</v>
      </c>
    </row>
    <row r="15" spans="1:12" x14ac:dyDescent="0.25">
      <c r="A15" s="1">
        <v>13</v>
      </c>
      <c r="B15" t="s">
        <v>22</v>
      </c>
      <c r="C15">
        <v>1</v>
      </c>
      <c r="D15" t="s">
        <v>29</v>
      </c>
      <c r="E15" t="s">
        <v>33</v>
      </c>
      <c r="F15" t="s">
        <v>55</v>
      </c>
      <c r="G15" t="s">
        <v>43</v>
      </c>
      <c r="H15" t="s">
        <v>51</v>
      </c>
      <c r="I15" t="s">
        <v>52</v>
      </c>
      <c r="J15">
        <v>1.4715443184475751E-2</v>
      </c>
      <c r="K15">
        <v>3.762550905009986E-6</v>
      </c>
      <c r="L15">
        <v>14.715443184475751</v>
      </c>
    </row>
    <row r="16" spans="1:12" x14ac:dyDescent="0.25">
      <c r="A16" s="1">
        <v>14</v>
      </c>
      <c r="B16" t="s">
        <v>23</v>
      </c>
      <c r="C16">
        <v>1</v>
      </c>
      <c r="D16" t="s">
        <v>29</v>
      </c>
      <c r="E16" t="s">
        <v>34</v>
      </c>
      <c r="F16" t="s">
        <v>55</v>
      </c>
      <c r="G16" t="s">
        <v>44</v>
      </c>
      <c r="H16" t="s">
        <v>51</v>
      </c>
      <c r="I16" t="s">
        <v>52</v>
      </c>
      <c r="J16">
        <v>1.2465461199022259E-2</v>
      </c>
      <c r="K16">
        <v>3.8547005871475559E-6</v>
      </c>
      <c r="L16">
        <v>12.465461199022259</v>
      </c>
    </row>
    <row r="17" spans="1:12" x14ac:dyDescent="0.25">
      <c r="A17" s="1">
        <v>15</v>
      </c>
      <c r="B17" t="s">
        <v>24</v>
      </c>
      <c r="C17">
        <v>1</v>
      </c>
      <c r="D17" t="s">
        <v>29</v>
      </c>
      <c r="E17" t="s">
        <v>35</v>
      </c>
      <c r="F17" t="s">
        <v>55</v>
      </c>
      <c r="G17" t="s">
        <v>45</v>
      </c>
      <c r="H17" t="s">
        <v>51</v>
      </c>
      <c r="I17" t="s">
        <v>52</v>
      </c>
      <c r="J17">
        <v>1.3019821574194819E-2</v>
      </c>
      <c r="K17">
        <v>3.8523747357447403E-6</v>
      </c>
      <c r="L17">
        <v>13.01982157419482</v>
      </c>
    </row>
    <row r="18" spans="1:12" x14ac:dyDescent="0.25">
      <c r="A18" s="1">
        <v>16</v>
      </c>
      <c r="B18" t="s">
        <v>25</v>
      </c>
      <c r="C18">
        <v>1</v>
      </c>
      <c r="D18" t="s">
        <v>29</v>
      </c>
      <c r="E18" t="s">
        <v>36</v>
      </c>
      <c r="F18" t="s">
        <v>55</v>
      </c>
      <c r="G18" t="s">
        <v>46</v>
      </c>
      <c r="H18" t="s">
        <v>51</v>
      </c>
      <c r="I18" t="s">
        <v>52</v>
      </c>
      <c r="J18">
        <v>1.26565479866243E-2</v>
      </c>
      <c r="K18">
        <v>3.8046715375981071E-6</v>
      </c>
      <c r="L18">
        <v>12.6565479866243</v>
      </c>
    </row>
    <row r="19" spans="1:12" x14ac:dyDescent="0.25">
      <c r="A19" s="1">
        <v>17</v>
      </c>
      <c r="B19" t="s">
        <v>26</v>
      </c>
      <c r="C19">
        <v>1</v>
      </c>
      <c r="D19" t="s">
        <v>29</v>
      </c>
      <c r="E19" t="s">
        <v>37</v>
      </c>
      <c r="F19" t="s">
        <v>55</v>
      </c>
      <c r="G19" t="s">
        <v>47</v>
      </c>
      <c r="H19" t="s">
        <v>51</v>
      </c>
      <c r="I19" t="s">
        <v>52</v>
      </c>
      <c r="J19">
        <v>1.5285769825818829E-2</v>
      </c>
      <c r="K19">
        <v>3.8962585103461747E-6</v>
      </c>
      <c r="L19">
        <v>15.285769825818829</v>
      </c>
    </row>
    <row r="20" spans="1:12" x14ac:dyDescent="0.25">
      <c r="A20" s="1">
        <v>18</v>
      </c>
      <c r="B20" t="s">
        <v>27</v>
      </c>
      <c r="C20">
        <v>1</v>
      </c>
      <c r="D20" t="s">
        <v>29</v>
      </c>
      <c r="E20" t="s">
        <v>38</v>
      </c>
      <c r="F20" t="s">
        <v>55</v>
      </c>
      <c r="G20" t="s">
        <v>48</v>
      </c>
      <c r="H20" t="s">
        <v>51</v>
      </c>
      <c r="I20" t="s">
        <v>52</v>
      </c>
      <c r="J20">
        <v>1.4412815621615321E-2</v>
      </c>
      <c r="K20">
        <v>3.9808612273640204E-6</v>
      </c>
      <c r="L20">
        <v>14.412815621615321</v>
      </c>
    </row>
    <row r="21" spans="1:12" x14ac:dyDescent="0.25">
      <c r="A21" s="1">
        <v>19</v>
      </c>
      <c r="B21" t="s">
        <v>28</v>
      </c>
      <c r="C21">
        <v>1</v>
      </c>
      <c r="D21" t="s">
        <v>29</v>
      </c>
      <c r="E21" t="s">
        <v>39</v>
      </c>
      <c r="F21" t="s">
        <v>55</v>
      </c>
      <c r="G21" t="s">
        <v>49</v>
      </c>
      <c r="H21" t="s">
        <v>51</v>
      </c>
      <c r="I21" t="s">
        <v>52</v>
      </c>
      <c r="J21">
        <v>1.1477993477513691E-2</v>
      </c>
      <c r="K21">
        <v>3.5663707037584011E-6</v>
      </c>
      <c r="L21">
        <v>11.47799347751369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Gibon</cp:lastModifiedBy>
  <dcterms:created xsi:type="dcterms:W3CDTF">2026-07-15T12:42:22Z</dcterms:created>
  <dcterms:modified xsi:type="dcterms:W3CDTF">2026-07-15T12:50:09Z</dcterms:modified>
</cp:coreProperties>
</file>